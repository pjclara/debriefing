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co\Downloads\"/>
    </mc:Choice>
  </mc:AlternateContent>
  <bookViews>
    <workbookView xWindow="0" yWindow="0" windowWidth="28800" windowHeight="12300"/>
  </bookViews>
  <sheets>
    <sheet name="02 - 08 Mar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2" i="1" l="1"/>
  <c r="X32" i="1"/>
  <c r="V32" i="1"/>
  <c r="T32" i="1"/>
  <c r="R32" i="1"/>
  <c r="P32" i="1"/>
  <c r="N32" i="1"/>
  <c r="L32" i="1"/>
  <c r="J32" i="1"/>
  <c r="E32" i="1" s="1"/>
  <c r="H32" i="1"/>
  <c r="C32" i="1"/>
  <c r="F32" i="1" s="1"/>
  <c r="Z31" i="1"/>
  <c r="X31" i="1"/>
  <c r="V31" i="1"/>
  <c r="T31" i="1"/>
  <c r="R31" i="1"/>
  <c r="P31" i="1"/>
  <c r="N31" i="1"/>
  <c r="L31" i="1"/>
  <c r="J31" i="1"/>
  <c r="H31" i="1"/>
  <c r="E31" i="1"/>
  <c r="C31" i="1"/>
  <c r="F31" i="1" s="1"/>
  <c r="Z30" i="1"/>
  <c r="X30" i="1"/>
  <c r="V30" i="1"/>
  <c r="T30" i="1"/>
  <c r="R30" i="1"/>
  <c r="P30" i="1"/>
  <c r="N30" i="1"/>
  <c r="L30" i="1"/>
  <c r="J30" i="1"/>
  <c r="E30" i="1" s="1"/>
  <c r="H30" i="1"/>
  <c r="C30" i="1"/>
  <c r="F30" i="1" s="1"/>
  <c r="Z29" i="1"/>
  <c r="X29" i="1"/>
  <c r="V29" i="1"/>
  <c r="T29" i="1"/>
  <c r="R29" i="1"/>
  <c r="P29" i="1"/>
  <c r="N29" i="1"/>
  <c r="L29" i="1"/>
  <c r="J29" i="1"/>
  <c r="H29" i="1"/>
  <c r="E29" i="1"/>
  <c r="C29" i="1"/>
  <c r="F29" i="1" s="1"/>
  <c r="Z28" i="1"/>
  <c r="X28" i="1"/>
  <c r="V28" i="1"/>
  <c r="T28" i="1"/>
  <c r="R28" i="1"/>
  <c r="P28" i="1"/>
  <c r="N28" i="1"/>
  <c r="L28" i="1"/>
  <c r="J28" i="1"/>
  <c r="E28" i="1" s="1"/>
  <c r="H28" i="1"/>
  <c r="C28" i="1"/>
  <c r="F28" i="1" s="1"/>
  <c r="Z27" i="1"/>
  <c r="X27" i="1"/>
  <c r="V27" i="1"/>
  <c r="T27" i="1"/>
  <c r="R27" i="1"/>
  <c r="P27" i="1"/>
  <c r="N27" i="1"/>
  <c r="L27" i="1"/>
  <c r="J27" i="1"/>
  <c r="H27" i="1"/>
  <c r="E27" i="1"/>
  <c r="C27" i="1"/>
  <c r="F27" i="1" s="1"/>
  <c r="Z26" i="1"/>
  <c r="X26" i="1"/>
  <c r="V26" i="1"/>
  <c r="T26" i="1"/>
  <c r="R26" i="1"/>
  <c r="P26" i="1"/>
  <c r="N26" i="1"/>
  <c r="L26" i="1"/>
  <c r="J26" i="1"/>
  <c r="E26" i="1" s="1"/>
  <c r="H26" i="1"/>
  <c r="C26" i="1"/>
  <c r="F26" i="1" s="1"/>
  <c r="Z25" i="1"/>
  <c r="X25" i="1"/>
  <c r="V25" i="1"/>
  <c r="T25" i="1"/>
  <c r="R25" i="1"/>
  <c r="P25" i="1"/>
  <c r="N25" i="1"/>
  <c r="L25" i="1"/>
  <c r="J25" i="1"/>
  <c r="H25" i="1"/>
  <c r="E25" i="1"/>
  <c r="C25" i="1"/>
  <c r="F25" i="1" s="1"/>
  <c r="Z24" i="1"/>
  <c r="X24" i="1"/>
  <c r="V24" i="1"/>
  <c r="T24" i="1"/>
  <c r="R24" i="1"/>
  <c r="P24" i="1"/>
  <c r="N24" i="1"/>
  <c r="L24" i="1"/>
  <c r="J24" i="1"/>
  <c r="E24" i="1" s="1"/>
  <c r="H24" i="1"/>
  <c r="C24" i="1"/>
  <c r="F24" i="1" s="1"/>
  <c r="Z23" i="1"/>
  <c r="X23" i="1"/>
  <c r="V23" i="1"/>
  <c r="T23" i="1"/>
  <c r="R23" i="1"/>
  <c r="P23" i="1"/>
  <c r="N23" i="1"/>
  <c r="L23" i="1"/>
  <c r="J23" i="1"/>
  <c r="H23" i="1"/>
  <c r="E23" i="1"/>
  <c r="C23" i="1"/>
  <c r="F23" i="1" s="1"/>
  <c r="Z22" i="1"/>
  <c r="X22" i="1"/>
  <c r="V22" i="1"/>
  <c r="T22" i="1"/>
  <c r="R22" i="1"/>
  <c r="P22" i="1"/>
  <c r="N22" i="1"/>
  <c r="L22" i="1"/>
  <c r="J22" i="1"/>
  <c r="E22" i="1" s="1"/>
  <c r="H22" i="1"/>
  <c r="C22" i="1"/>
  <c r="F22" i="1" s="1"/>
  <c r="Z21" i="1"/>
  <c r="X21" i="1"/>
  <c r="V21" i="1"/>
  <c r="T21" i="1"/>
  <c r="R21" i="1"/>
  <c r="P21" i="1"/>
  <c r="N21" i="1"/>
  <c r="L21" i="1"/>
  <c r="J21" i="1"/>
  <c r="H21" i="1"/>
  <c r="E21" i="1"/>
  <c r="C21" i="1"/>
  <c r="F21" i="1" s="1"/>
  <c r="Z20" i="1"/>
  <c r="X20" i="1"/>
  <c r="V20" i="1"/>
  <c r="T20" i="1"/>
  <c r="R20" i="1"/>
  <c r="P20" i="1"/>
  <c r="N20" i="1"/>
  <c r="L20" i="1"/>
  <c r="J20" i="1"/>
  <c r="E20" i="1" s="1"/>
  <c r="H20" i="1"/>
  <c r="C20" i="1"/>
  <c r="F20" i="1" s="1"/>
  <c r="Z19" i="1"/>
  <c r="X19" i="1"/>
  <c r="V19" i="1"/>
  <c r="T19" i="1"/>
  <c r="R19" i="1"/>
  <c r="P19" i="1"/>
  <c r="N19" i="1"/>
  <c r="L19" i="1"/>
  <c r="J19" i="1"/>
  <c r="H19" i="1"/>
  <c r="E19" i="1"/>
  <c r="C19" i="1"/>
  <c r="F19" i="1" s="1"/>
  <c r="Z18" i="1"/>
  <c r="X18" i="1"/>
  <c r="V18" i="1"/>
  <c r="T18" i="1"/>
  <c r="R18" i="1"/>
  <c r="P18" i="1"/>
  <c r="N18" i="1"/>
  <c r="L18" i="1"/>
  <c r="J18" i="1"/>
  <c r="E18" i="1" s="1"/>
  <c r="H18" i="1"/>
  <c r="C18" i="1"/>
  <c r="F18" i="1" s="1"/>
  <c r="Z17" i="1"/>
  <c r="X17" i="1"/>
  <c r="V17" i="1"/>
  <c r="T17" i="1"/>
  <c r="R17" i="1"/>
  <c r="P17" i="1"/>
  <c r="N17" i="1"/>
  <c r="L17" i="1"/>
  <c r="J17" i="1"/>
  <c r="H17" i="1"/>
  <c r="E17" i="1"/>
  <c r="C17" i="1"/>
  <c r="F17" i="1" s="1"/>
  <c r="Z16" i="1"/>
  <c r="X16" i="1"/>
  <c r="V16" i="1"/>
  <c r="T16" i="1"/>
  <c r="R16" i="1"/>
  <c r="P16" i="1"/>
  <c r="N16" i="1"/>
  <c r="L16" i="1"/>
  <c r="J16" i="1"/>
  <c r="E16" i="1" s="1"/>
  <c r="H16" i="1"/>
  <c r="C16" i="1"/>
  <c r="F16" i="1" s="1"/>
  <c r="Z15" i="1"/>
  <c r="X15" i="1"/>
  <c r="V15" i="1"/>
  <c r="T15" i="1"/>
  <c r="R15" i="1"/>
  <c r="P15" i="1"/>
  <c r="N15" i="1"/>
  <c r="L15" i="1"/>
  <c r="J15" i="1"/>
  <c r="H15" i="1"/>
  <c r="E15" i="1"/>
  <c r="C15" i="1"/>
  <c r="F15" i="1" s="1"/>
  <c r="Z14" i="1"/>
  <c r="X14" i="1"/>
  <c r="V14" i="1"/>
  <c r="T14" i="1"/>
  <c r="R14" i="1"/>
  <c r="P14" i="1"/>
  <c r="N14" i="1"/>
  <c r="L14" i="1"/>
  <c r="J14" i="1"/>
  <c r="E14" i="1" s="1"/>
  <c r="H14" i="1"/>
  <c r="C14" i="1"/>
  <c r="F14" i="1" s="1"/>
  <c r="Z13" i="1"/>
  <c r="X13" i="1"/>
  <c r="V13" i="1"/>
  <c r="T13" i="1"/>
  <c r="R13" i="1"/>
  <c r="P13" i="1"/>
  <c r="N13" i="1"/>
  <c r="L13" i="1"/>
  <c r="J13" i="1"/>
  <c r="H13" i="1"/>
  <c r="E13" i="1"/>
  <c r="C13" i="1"/>
  <c r="F13" i="1" s="1"/>
  <c r="Z12" i="1"/>
  <c r="X12" i="1"/>
  <c r="V12" i="1"/>
  <c r="T12" i="1"/>
  <c r="R12" i="1"/>
  <c r="P12" i="1"/>
  <c r="N12" i="1"/>
  <c r="L12" i="1"/>
  <c r="J12" i="1"/>
  <c r="E12" i="1" s="1"/>
  <c r="H12" i="1"/>
  <c r="C12" i="1"/>
  <c r="F12" i="1" s="1"/>
  <c r="Z11" i="1"/>
  <c r="X11" i="1"/>
  <c r="V11" i="1"/>
  <c r="T11" i="1"/>
  <c r="R11" i="1"/>
  <c r="P11" i="1"/>
  <c r="N11" i="1"/>
  <c r="L11" i="1"/>
  <c r="J11" i="1"/>
  <c r="H11" i="1"/>
  <c r="E11" i="1"/>
  <c r="C11" i="1"/>
  <c r="F11" i="1" s="1"/>
  <c r="Z10" i="1"/>
  <c r="X10" i="1"/>
  <c r="V10" i="1"/>
  <c r="T10" i="1"/>
  <c r="R10" i="1"/>
  <c r="P10" i="1"/>
  <c r="N10" i="1"/>
  <c r="L10" i="1"/>
  <c r="J10" i="1"/>
  <c r="E10" i="1" s="1"/>
  <c r="H10" i="1"/>
  <c r="C10" i="1"/>
  <c r="F10" i="1" s="1"/>
  <c r="Z9" i="1"/>
  <c r="X9" i="1"/>
  <c r="V9" i="1"/>
  <c r="T9" i="1"/>
  <c r="R9" i="1"/>
  <c r="P9" i="1"/>
  <c r="N9" i="1"/>
  <c r="L9" i="1"/>
  <c r="J9" i="1"/>
  <c r="H9" i="1"/>
  <c r="E9" i="1"/>
  <c r="C9" i="1"/>
  <c r="F9" i="1" s="1"/>
  <c r="Z8" i="1"/>
  <c r="X8" i="1"/>
  <c r="V8" i="1"/>
  <c r="T8" i="1"/>
  <c r="R8" i="1"/>
  <c r="P8" i="1"/>
  <c r="N8" i="1"/>
  <c r="L8" i="1"/>
  <c r="J8" i="1"/>
  <c r="E8" i="1" s="1"/>
  <c r="H8" i="1"/>
  <c r="C8" i="1"/>
  <c r="F8" i="1" s="1"/>
  <c r="Z7" i="1"/>
  <c r="X7" i="1"/>
  <c r="V7" i="1"/>
  <c r="T7" i="1"/>
  <c r="R7" i="1"/>
  <c r="P7" i="1"/>
  <c r="N7" i="1"/>
  <c r="L7" i="1"/>
  <c r="J7" i="1"/>
  <c r="H7" i="1"/>
  <c r="E7" i="1"/>
  <c r="C7" i="1"/>
  <c r="F7" i="1" s="1"/>
  <c r="Z6" i="1"/>
  <c r="X6" i="1"/>
  <c r="V6" i="1"/>
  <c r="T6" i="1"/>
  <c r="R6" i="1"/>
  <c r="P6" i="1"/>
  <c r="N6" i="1"/>
  <c r="L6" i="1"/>
  <c r="J6" i="1"/>
  <c r="E6" i="1" s="1"/>
  <c r="H6" i="1"/>
  <c r="C6" i="1"/>
  <c r="F6" i="1" s="1"/>
  <c r="Z5" i="1"/>
  <c r="X5" i="1"/>
  <c r="V5" i="1"/>
  <c r="T5" i="1"/>
  <c r="R5" i="1"/>
  <c r="P5" i="1"/>
  <c r="N5" i="1"/>
  <c r="L5" i="1"/>
  <c r="J5" i="1"/>
  <c r="H5" i="1"/>
  <c r="E5" i="1"/>
  <c r="C5" i="1"/>
  <c r="F5" i="1" s="1"/>
  <c r="Z4" i="1"/>
  <c r="X4" i="1"/>
  <c r="V4" i="1"/>
  <c r="T4" i="1"/>
  <c r="R4" i="1"/>
  <c r="P4" i="1"/>
  <c r="N4" i="1"/>
  <c r="L4" i="1"/>
  <c r="J4" i="1"/>
  <c r="E4" i="1" s="1"/>
  <c r="H4" i="1"/>
  <c r="C4" i="1"/>
  <c r="F4" i="1" s="1"/>
</calcChain>
</file>

<file path=xl/comments1.xml><?xml version="1.0" encoding="utf-8"?>
<comments xmlns="http://schemas.openxmlformats.org/spreadsheetml/2006/main">
  <authors>
    <author>BLOCO</author>
  </authors>
  <commentList>
    <comment ref="C31" authorId="0" shapeId="0">
      <text>
        <r>
          <rPr>
            <b/>
            <sz val="9"/>
            <color indexed="81"/>
            <rFont val="Tahoma"/>
            <family val="2"/>
          </rPr>
          <t>BLOCO:</t>
        </r>
        <r>
          <rPr>
            <sz val="9"/>
            <color indexed="81"/>
            <rFont val="Tahoma"/>
            <family val="2"/>
          </rPr>
          <t xml:space="preserve">
reposto stock dia 27 fev</t>
        </r>
      </text>
    </comment>
  </commentList>
</comments>
</file>

<file path=xl/sharedStrings.xml><?xml version="1.0" encoding="utf-8"?>
<sst xmlns="http://schemas.openxmlformats.org/spreadsheetml/2006/main" count="57" uniqueCount="48">
  <si>
    <r>
      <t>PLANO CIRÚRGICO</t>
    </r>
    <r>
      <rPr>
        <b/>
        <sz val="11"/>
        <color theme="1"/>
        <rFont val="Calibri"/>
        <family val="2"/>
        <scheme val="minor"/>
      </rPr>
      <t xml:space="preserve"> 02 a 08 de Março 2026</t>
    </r>
  </si>
  <si>
    <t>STOCK Semana anterior</t>
  </si>
  <si>
    <t>ENCOMENDAS</t>
  </si>
  <si>
    <t>ITENS UTILIZADOS</t>
  </si>
  <si>
    <t>STOCK ACTUAL</t>
  </si>
  <si>
    <t>PANCREATECTOMIA</t>
  </si>
  <si>
    <t>Itens Utilizados</t>
  </si>
  <si>
    <t>HEPATECTOMIA SIMPLES</t>
  </si>
  <si>
    <t>HEPATECTOMIA COMPLEXA</t>
  </si>
  <si>
    <t>PAREDE ABDOMINAL</t>
  </si>
  <si>
    <t>COLORECTAL</t>
  </si>
  <si>
    <t>PROSTATECTOMIA</t>
  </si>
  <si>
    <t>NEFRECTOMIA PARCIAL</t>
  </si>
  <si>
    <t>CISTECTOMIA</t>
  </si>
  <si>
    <t>SACROCOLPOPEXIA</t>
  </si>
  <si>
    <t>HISTERECTOMIAS BENIGNAS COMPLEXAS</t>
  </si>
  <si>
    <t>ITENS ROBÓTICOS COM VIDAS</t>
  </si>
  <si>
    <t>PROGRASP FORCEPS (PINÇA PROGRASP)</t>
  </si>
  <si>
    <t>TIP-UP FENESTRATED GRASPER (PINÇA TIP-UP)</t>
  </si>
  <si>
    <t>FENESTRATED BIPOLAR FORCEPS (PINÇA BIPOLAR FENESTRADA)</t>
  </si>
  <si>
    <t>MARYLAND BIPOLAR FORCEPS (PINÇA BIPOLAR MARYLAND)</t>
  </si>
  <si>
    <t>MONOPOLAR CURVED SCISSORS (TESOURA MONOPOLAR)</t>
  </si>
  <si>
    <t>LARGE NEEDLE DRIVER (PORTA-AGULHAS GRANDE)</t>
  </si>
  <si>
    <t>LARGE SUTURE CUT NEEDLE DRIVER (PORTA-AGULAS GRANDE CORTA SUTURAS)</t>
  </si>
  <si>
    <t>MEGA NEEDLE DRIVER (MEGA PORTA-AGULHAS)</t>
  </si>
  <si>
    <t>MEGA SUTURE CUT NEEDLE DRIVER (MEGA PORTA-AGULHAS CORTA SUTURAS)</t>
  </si>
  <si>
    <t>LARGE CLIP APPLIER (APLICADOR HEMOLOCK LARGE - ROXO)</t>
  </si>
  <si>
    <t>CABO MONOPOLAR</t>
  </si>
  <si>
    <t>CABO BIPOLAR</t>
  </si>
  <si>
    <t>CONSUMÍVEIS ROBÓTICOS DESCARTÁVEIS</t>
  </si>
  <si>
    <t>PANO CIRÚRGICO DO BRAÇO DE INSTRUMENTOS</t>
  </si>
  <si>
    <t>PANO CIRÚRGICO DA COLUNA</t>
  </si>
  <si>
    <t>VEDAÇÃO DE CÂNULA DE 5-8MM</t>
  </si>
  <si>
    <t>OBTURADOR SEM LÂMINA DE 8MM</t>
  </si>
  <si>
    <t>ACESSÓRIO DE COBERTURA DA PONTA DA TESOURA</t>
  </si>
  <si>
    <t>REDUTOR DE 12MM PARA 8MM</t>
  </si>
  <si>
    <t>VEDAÇÃO DE CÂNULA DO AGRAFADOR DE 12MM</t>
  </si>
  <si>
    <t>AGRAFADOR SUREFORM 60</t>
  </si>
  <si>
    <t>RECARGA SUREFORM 60 - PRETA 4.6</t>
  </si>
  <si>
    <t>RECARGA SUREFORM 60 - VERDE 4.3</t>
  </si>
  <si>
    <t>RECARGA SUREFORM 60 - AZUL 3.5</t>
  </si>
  <si>
    <t>RECARGA SUREFORM 60 - BRANCA 2.5</t>
  </si>
  <si>
    <t>SYNCHROSEAL</t>
  </si>
  <si>
    <t>ASPIRADOR/IRRIGADOR ROBÓTICO</t>
  </si>
  <si>
    <t>EXTRAS</t>
  </si>
  <si>
    <t>ASPIRADOR/IRRIGADOR "ELEPHANT"</t>
  </si>
  <si>
    <t>SISTEMA DE CO2 (INSUFLAÇÃO / ASPIRAÇÃO DE FUMOS)</t>
  </si>
  <si>
    <t>KIT CAREPAD PARA POSICIONAMENTO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</si>
</sst>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EFF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Dashed">
        <color auto="1"/>
      </left>
      <right/>
      <top style="mediumDashed">
        <color auto="1"/>
      </top>
      <bottom style="mediumDashed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/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0" xfId="0" applyFont="1"/>
    <xf numFmtId="0" fontId="0" fillId="3" borderId="4" xfId="0" applyFill="1" applyBorder="1"/>
    <xf numFmtId="0" fontId="0" fillId="3" borderId="4" xfId="0" applyFill="1" applyBorder="1" applyAlignment="1">
      <alignment wrapText="1"/>
    </xf>
    <xf numFmtId="0" fontId="0" fillId="0" borderId="5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Border="1" applyAlignment="1">
      <alignment horizontal="center" vertical="center" textRotation="90"/>
    </xf>
    <xf numFmtId="0" fontId="7" fillId="9" borderId="0" xfId="0" applyFont="1" applyFill="1" applyAlignment="1"/>
    <xf numFmtId="1" fontId="8" fillId="0" borderId="8" xfId="0" applyNumberFormat="1" applyFont="1" applyFill="1" applyBorder="1" applyAlignment="1">
      <alignment horizontal="center" vertical="top" shrinkToFit="1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10" borderId="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/>
    </xf>
    <xf numFmtId="0" fontId="7" fillId="9" borderId="0" xfId="0" applyFont="1" applyFill="1" applyAlignment="1">
      <alignment horizontal="left"/>
    </xf>
    <xf numFmtId="0" fontId="7" fillId="9" borderId="0" xfId="0" applyFont="1" applyFill="1" applyAlignment="1">
      <alignment horizontal="left" wrapText="1"/>
    </xf>
    <xf numFmtId="0" fontId="6" fillId="0" borderId="11" xfId="0" applyFont="1" applyBorder="1" applyAlignment="1">
      <alignment horizontal="center" vertical="center" textRotation="90"/>
    </xf>
    <xf numFmtId="0" fontId="7" fillId="9" borderId="11" xfId="0" applyFont="1" applyFill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0" xfId="0" applyBorder="1"/>
    <xf numFmtId="0" fontId="6" fillId="0" borderId="14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left"/>
    </xf>
    <xf numFmtId="0" fontId="6" fillId="0" borderId="0" xfId="0" applyFont="1" applyBorder="1" applyAlignment="1">
      <alignment horizontal="center" vertical="center" textRotation="90" wrapText="1"/>
    </xf>
    <xf numFmtId="0" fontId="0" fillId="12" borderId="10" xfId="0" applyFill="1" applyBorder="1" applyAlignment="1">
      <alignment horizontal="center"/>
    </xf>
    <xf numFmtId="0" fontId="6" fillId="0" borderId="11" xfId="0" applyFont="1" applyBorder="1" applyAlignment="1">
      <alignment horizontal="center" vertical="center" textRotation="90" wrapText="1"/>
    </xf>
    <xf numFmtId="0" fontId="9" fillId="0" borderId="11" xfId="0" applyFont="1" applyBorder="1" applyAlignment="1">
      <alignment horizontal="left"/>
    </xf>
    <xf numFmtId="0" fontId="0" fillId="12" borderId="13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6" fillId="0" borderId="14" xfId="0" applyFont="1" applyBorder="1" applyAlignment="1">
      <alignment horizontal="center" textRotation="90" wrapText="1"/>
    </xf>
    <xf numFmtId="0" fontId="9" fillId="9" borderId="0" xfId="0" applyFont="1" applyFill="1" applyBorder="1" applyAlignment="1">
      <alignment horizontal="left"/>
    </xf>
    <xf numFmtId="0" fontId="0" fillId="12" borderId="0" xfId="0" applyFill="1" applyAlignment="1">
      <alignment horizontal="center"/>
    </xf>
    <xf numFmtId="0" fontId="6" fillId="0" borderId="0" xfId="0" applyFont="1" applyBorder="1" applyAlignment="1">
      <alignment horizontal="center" textRotation="90" wrapText="1"/>
    </xf>
    <xf numFmtId="0" fontId="6" fillId="0" borderId="5" xfId="0" applyFont="1" applyBorder="1" applyAlignment="1">
      <alignment horizontal="center" textRotation="90" wrapText="1"/>
    </xf>
    <xf numFmtId="0" fontId="7" fillId="9" borderId="5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o%20de%20consumos%20cirurgicos%20-%20tabela%20de%20simula&#231;&#227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s a 27.01.25"/>
      <sheetName val="Semana 5-11 Jan"/>
      <sheetName val="Semana 12 - 18 Jan"/>
      <sheetName val="Semana 19 - 25 Jan"/>
      <sheetName val="Semana 26 - 01 fev"/>
      <sheetName val="Semana 09 - 15 fev"/>
      <sheetName val="Semana 16 - 22 Fev"/>
      <sheetName val="23 Fev - 01 Mar"/>
      <sheetName val="02 - 08 Mar"/>
      <sheetName val="Folha1"/>
      <sheetName val="Folha2"/>
      <sheetName val="09 - 15 març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F4">
            <v>27</v>
          </cell>
        </row>
        <row r="5">
          <cell r="F5">
            <v>8</v>
          </cell>
        </row>
        <row r="6">
          <cell r="F6">
            <v>20</v>
          </cell>
        </row>
        <row r="7">
          <cell r="F7">
            <v>26</v>
          </cell>
        </row>
        <row r="8">
          <cell r="F8">
            <v>31</v>
          </cell>
        </row>
        <row r="9">
          <cell r="F9">
            <v>30</v>
          </cell>
        </row>
        <row r="10">
          <cell r="F10">
            <v>14</v>
          </cell>
        </row>
        <row r="11">
          <cell r="F11">
            <v>10</v>
          </cell>
        </row>
        <row r="12">
          <cell r="F12">
            <v>15</v>
          </cell>
        </row>
        <row r="13">
          <cell r="F13">
            <v>96</v>
          </cell>
        </row>
        <row r="14">
          <cell r="F14">
            <v>72</v>
          </cell>
        </row>
        <row r="15">
          <cell r="F15">
            <v>69</v>
          </cell>
        </row>
        <row r="16">
          <cell r="F16">
            <v>104</v>
          </cell>
        </row>
        <row r="17">
          <cell r="F17">
            <v>48</v>
          </cell>
        </row>
        <row r="18">
          <cell r="F18">
            <v>133</v>
          </cell>
        </row>
        <row r="19">
          <cell r="F19">
            <v>30</v>
          </cell>
        </row>
        <row r="20">
          <cell r="F20">
            <v>39</v>
          </cell>
        </row>
        <row r="21">
          <cell r="F21">
            <v>16</v>
          </cell>
        </row>
        <row r="22">
          <cell r="F22">
            <v>17</v>
          </cell>
        </row>
        <row r="23">
          <cell r="F23">
            <v>17</v>
          </cell>
        </row>
        <row r="24">
          <cell r="F24">
            <v>12</v>
          </cell>
        </row>
        <row r="25">
          <cell r="F25">
            <v>12</v>
          </cell>
        </row>
        <row r="26">
          <cell r="F26">
            <v>12</v>
          </cell>
        </row>
        <row r="27">
          <cell r="F27">
            <v>10</v>
          </cell>
        </row>
        <row r="28">
          <cell r="F28">
            <v>9</v>
          </cell>
        </row>
        <row r="29">
          <cell r="F29">
            <v>17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13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35"/>
  <sheetViews>
    <sheetView tabSelected="1" zoomScale="85" zoomScaleNormal="85" workbookViewId="0">
      <selection activeCell="L2" sqref="L2"/>
    </sheetView>
  </sheetViews>
  <sheetFormatPr defaultRowHeight="15"/>
  <cols>
    <col min="2" max="2" width="50.140625" bestFit="1" customWidth="1"/>
    <col min="3" max="3" width="11" customWidth="1"/>
    <col min="4" max="4" width="14.5703125" customWidth="1"/>
    <col min="5" max="5" width="17.140625" customWidth="1"/>
    <col min="6" max="6" width="14.85546875" customWidth="1"/>
    <col min="7" max="7" width="19.85546875" customWidth="1"/>
    <col min="8" max="8" width="9.85546875" customWidth="1"/>
    <col min="9" max="9" width="20.140625" customWidth="1"/>
    <col min="10" max="10" width="9.85546875" style="1" customWidth="1"/>
    <col min="11" max="11" width="20" customWidth="1"/>
    <col min="12" max="12" width="9.85546875" customWidth="1"/>
    <col min="13" max="13" width="17.140625" customWidth="1"/>
    <col min="14" max="14" width="9.85546875" customWidth="1"/>
    <col min="15" max="15" width="12.28515625" customWidth="1"/>
    <col min="16" max="16" width="9.85546875" customWidth="1"/>
    <col min="17" max="17" width="17.5703125" customWidth="1"/>
    <col min="18" max="18" width="9.85546875" customWidth="1"/>
    <col min="19" max="19" width="13.5703125" customWidth="1"/>
    <col min="20" max="20" width="9.85546875" customWidth="1"/>
    <col min="21" max="21" width="13.140625" customWidth="1"/>
    <col min="22" max="22" width="9.85546875" customWidth="1"/>
    <col min="23" max="23" width="18.42578125" customWidth="1"/>
    <col min="24" max="24" width="9.85546875" customWidth="1"/>
    <col min="25" max="25" width="22" customWidth="1"/>
    <col min="26" max="26" width="9.85546875" customWidth="1"/>
  </cols>
  <sheetData>
    <row r="1" spans="1:26" ht="20.25" customHeight="1" thickBot="1"/>
    <row r="2" spans="1:26" ht="22.5" customHeight="1" thickBot="1">
      <c r="C2" s="2" t="s">
        <v>0</v>
      </c>
      <c r="D2" s="3"/>
      <c r="E2" s="3"/>
      <c r="F2" s="4"/>
      <c r="G2" s="5"/>
      <c r="H2" s="6"/>
      <c r="J2" s="7"/>
      <c r="L2" s="6">
        <v>1</v>
      </c>
      <c r="N2" s="6"/>
      <c r="P2" s="6"/>
      <c r="R2" s="6">
        <v>1</v>
      </c>
      <c r="T2" s="6"/>
      <c r="V2" s="6"/>
      <c r="X2" s="6"/>
      <c r="Z2" s="6"/>
    </row>
    <row r="3" spans="1:26" s="23" customFormat="1" ht="42.75" customHeight="1" thickBot="1">
      <c r="A3" s="8"/>
      <c r="B3" s="8"/>
      <c r="C3" s="9" t="s">
        <v>1</v>
      </c>
      <c r="D3" s="10" t="s">
        <v>2</v>
      </c>
      <c r="E3" s="11" t="s">
        <v>3</v>
      </c>
      <c r="F3" s="12" t="s">
        <v>4</v>
      </c>
      <c r="G3" s="13" t="s">
        <v>5</v>
      </c>
      <c r="H3" s="14" t="s">
        <v>6</v>
      </c>
      <c r="I3" s="15" t="s">
        <v>7</v>
      </c>
      <c r="J3" s="14" t="s">
        <v>6</v>
      </c>
      <c r="K3" s="15" t="s">
        <v>8</v>
      </c>
      <c r="L3" s="14" t="s">
        <v>6</v>
      </c>
      <c r="M3" s="16" t="s">
        <v>9</v>
      </c>
      <c r="N3" s="14" t="s">
        <v>6</v>
      </c>
      <c r="O3" s="17" t="s">
        <v>10</v>
      </c>
      <c r="P3" s="14" t="s">
        <v>6</v>
      </c>
      <c r="Q3" s="18" t="s">
        <v>11</v>
      </c>
      <c r="R3" s="14" t="s">
        <v>6</v>
      </c>
      <c r="S3" s="19" t="s">
        <v>12</v>
      </c>
      <c r="T3" s="14" t="s">
        <v>6</v>
      </c>
      <c r="U3" s="20" t="s">
        <v>13</v>
      </c>
      <c r="V3" s="14" t="s">
        <v>6</v>
      </c>
      <c r="W3" s="21" t="s">
        <v>14</v>
      </c>
      <c r="X3" s="14" t="s">
        <v>6</v>
      </c>
      <c r="Y3" s="22" t="s">
        <v>15</v>
      </c>
      <c r="Z3" s="14" t="s">
        <v>6</v>
      </c>
    </row>
    <row r="4" spans="1:26" ht="15.75" thickBot="1">
      <c r="A4" s="24" t="s">
        <v>16</v>
      </c>
      <c r="B4" s="25" t="s">
        <v>17</v>
      </c>
      <c r="C4" s="26">
        <f>'[1]23 Fev - 01 Mar'!F4</f>
        <v>27</v>
      </c>
      <c r="D4" s="27"/>
      <c r="E4" s="28">
        <f>H4+J4+L4+N4+P4+R4+T4+V4+X4+Z4</f>
        <v>2</v>
      </c>
      <c r="F4" s="29">
        <f>C4+D4-E4</f>
        <v>25</v>
      </c>
      <c r="G4" s="30">
        <v>1</v>
      </c>
      <c r="H4" s="31">
        <f>$H$2*G4</f>
        <v>0</v>
      </c>
      <c r="I4" s="28">
        <v>1</v>
      </c>
      <c r="J4" s="32">
        <f>$J$2*I4</f>
        <v>0</v>
      </c>
      <c r="K4" s="28">
        <v>1</v>
      </c>
      <c r="L4" s="28">
        <f>$L$2*K4</f>
        <v>1</v>
      </c>
      <c r="M4" s="33">
        <v>1</v>
      </c>
      <c r="N4" s="28">
        <f>$N$2*M4</f>
        <v>0</v>
      </c>
      <c r="O4" s="33"/>
      <c r="P4" s="28">
        <f>$P$2*O4</f>
        <v>0</v>
      </c>
      <c r="Q4" s="33">
        <v>1</v>
      </c>
      <c r="R4" s="28">
        <f>$R$2*Q4</f>
        <v>1</v>
      </c>
      <c r="S4" s="28">
        <v>1</v>
      </c>
      <c r="T4" s="28">
        <f>$T$2*S4</f>
        <v>0</v>
      </c>
      <c r="U4" s="28">
        <v>1</v>
      </c>
      <c r="V4" s="28">
        <f>$V$2*U4</f>
        <v>0</v>
      </c>
      <c r="W4" s="33">
        <v>1</v>
      </c>
      <c r="X4" s="28">
        <f>$X$2*W4</f>
        <v>0</v>
      </c>
      <c r="Y4" s="28">
        <v>1</v>
      </c>
      <c r="Z4" s="28">
        <f>$Z$2*Y4</f>
        <v>0</v>
      </c>
    </row>
    <row r="5" spans="1:26" ht="15.75" thickBot="1">
      <c r="A5" s="24"/>
      <c r="B5" s="34" t="s">
        <v>18</v>
      </c>
      <c r="C5" s="26">
        <f>'[1]23 Fev - 01 Mar'!F5</f>
        <v>8</v>
      </c>
      <c r="D5" s="27"/>
      <c r="E5" s="28">
        <f t="shared" ref="E5:E32" si="0">H5+J5+L5+N5+P5+R5+T5+V5+X5+Z5</f>
        <v>0</v>
      </c>
      <c r="F5" s="29">
        <f t="shared" ref="F5:F32" si="1">C5+D5-E5</f>
        <v>8</v>
      </c>
      <c r="G5" s="33">
        <v>1</v>
      </c>
      <c r="H5" s="31">
        <f t="shared" ref="H5:H32" si="2">$H$2*G5</f>
        <v>0</v>
      </c>
      <c r="I5" s="28"/>
      <c r="J5" s="32">
        <f t="shared" ref="J5:J32" si="3">$J$2*I5</f>
        <v>0</v>
      </c>
      <c r="K5" s="28"/>
      <c r="L5" s="28">
        <f t="shared" ref="L5:L32" si="4">$L$2*K5</f>
        <v>0</v>
      </c>
      <c r="M5" s="33"/>
      <c r="N5" s="28">
        <f t="shared" ref="N5:N32" si="5">$N$2*M5</f>
        <v>0</v>
      </c>
      <c r="O5" s="33">
        <v>1</v>
      </c>
      <c r="P5" s="28">
        <f t="shared" ref="P5:P32" si="6">$P$2*O5</f>
        <v>0</v>
      </c>
      <c r="Q5" s="33"/>
      <c r="R5" s="28">
        <f t="shared" ref="R5:R32" si="7">$R$2*Q5</f>
        <v>0</v>
      </c>
      <c r="S5" s="28"/>
      <c r="T5" s="28">
        <f t="shared" ref="T5:T32" si="8">$T$2*S5</f>
        <v>0</v>
      </c>
      <c r="U5" s="28"/>
      <c r="V5" s="28">
        <f t="shared" ref="V5:V32" si="9">$V$2*U5</f>
        <v>0</v>
      </c>
      <c r="W5" s="33"/>
      <c r="X5" s="28">
        <f t="shared" ref="X5:X32" si="10">$X$2*W5</f>
        <v>0</v>
      </c>
      <c r="Y5" s="28"/>
      <c r="Z5" s="28">
        <f t="shared" ref="Z5:Z32" si="11">$Z$2*Y5</f>
        <v>0</v>
      </c>
    </row>
    <row r="6" spans="1:26" ht="15.75" thickBot="1">
      <c r="A6" s="24"/>
      <c r="B6" s="34" t="s">
        <v>19</v>
      </c>
      <c r="C6" s="26">
        <f>'[1]23 Fev - 01 Mar'!F6</f>
        <v>20</v>
      </c>
      <c r="D6" s="27"/>
      <c r="E6" s="28">
        <f t="shared" si="0"/>
        <v>1</v>
      </c>
      <c r="F6" s="29">
        <f t="shared" si="1"/>
        <v>19</v>
      </c>
      <c r="G6" s="30">
        <v>1</v>
      </c>
      <c r="H6" s="31">
        <f t="shared" si="2"/>
        <v>0</v>
      </c>
      <c r="I6" s="28">
        <v>1</v>
      </c>
      <c r="J6" s="32">
        <f t="shared" si="3"/>
        <v>0</v>
      </c>
      <c r="K6" s="28">
        <v>1</v>
      </c>
      <c r="L6" s="28">
        <f t="shared" si="4"/>
        <v>1</v>
      </c>
      <c r="M6" s="33">
        <v>1</v>
      </c>
      <c r="N6" s="28">
        <f t="shared" si="5"/>
        <v>0</v>
      </c>
      <c r="O6" s="33">
        <v>1</v>
      </c>
      <c r="P6" s="28">
        <f t="shared" si="6"/>
        <v>0</v>
      </c>
      <c r="Q6" s="33"/>
      <c r="R6" s="28">
        <f t="shared" si="7"/>
        <v>0</v>
      </c>
      <c r="S6" s="28"/>
      <c r="T6" s="28">
        <f t="shared" si="8"/>
        <v>0</v>
      </c>
      <c r="U6" s="28"/>
      <c r="V6" s="28">
        <f t="shared" si="9"/>
        <v>0</v>
      </c>
      <c r="W6" s="33">
        <v>1</v>
      </c>
      <c r="X6" s="28">
        <f t="shared" si="10"/>
        <v>0</v>
      </c>
      <c r="Y6" s="28"/>
      <c r="Z6" s="28">
        <f t="shared" si="11"/>
        <v>0</v>
      </c>
    </row>
    <row r="7" spans="1:26" ht="15.75" thickBot="1">
      <c r="A7" s="24"/>
      <c r="B7" s="34" t="s">
        <v>20</v>
      </c>
      <c r="C7" s="26">
        <f>'[1]23 Fev - 01 Mar'!F7</f>
        <v>26</v>
      </c>
      <c r="D7" s="27"/>
      <c r="E7" s="28">
        <f t="shared" si="0"/>
        <v>1</v>
      </c>
      <c r="F7" s="29">
        <f t="shared" si="1"/>
        <v>25</v>
      </c>
      <c r="G7" s="33">
        <v>1</v>
      </c>
      <c r="H7" s="31">
        <f t="shared" si="2"/>
        <v>0</v>
      </c>
      <c r="I7" s="28"/>
      <c r="J7" s="32">
        <f t="shared" si="3"/>
        <v>0</v>
      </c>
      <c r="K7" s="28"/>
      <c r="L7" s="28">
        <f t="shared" si="4"/>
        <v>0</v>
      </c>
      <c r="M7" s="33"/>
      <c r="N7" s="28">
        <f t="shared" si="5"/>
        <v>0</v>
      </c>
      <c r="O7" s="33"/>
      <c r="P7" s="28">
        <f t="shared" si="6"/>
        <v>0</v>
      </c>
      <c r="Q7" s="33">
        <v>1</v>
      </c>
      <c r="R7" s="28">
        <f t="shared" si="7"/>
        <v>1</v>
      </c>
      <c r="S7" s="28">
        <v>1</v>
      </c>
      <c r="T7" s="28">
        <f t="shared" si="8"/>
        <v>0</v>
      </c>
      <c r="U7" s="28">
        <v>1</v>
      </c>
      <c r="V7" s="28">
        <f t="shared" si="9"/>
        <v>0</v>
      </c>
      <c r="W7" s="33"/>
      <c r="X7" s="28">
        <f t="shared" si="10"/>
        <v>0</v>
      </c>
      <c r="Y7" s="28">
        <v>1</v>
      </c>
      <c r="Z7" s="28">
        <f t="shared" si="11"/>
        <v>0</v>
      </c>
    </row>
    <row r="8" spans="1:26" ht="15.75" thickBot="1">
      <c r="A8" s="24"/>
      <c r="B8" s="34" t="s">
        <v>21</v>
      </c>
      <c r="C8" s="26">
        <f>'[1]23 Fev - 01 Mar'!F8</f>
        <v>31</v>
      </c>
      <c r="D8" s="27"/>
      <c r="E8" s="28">
        <f t="shared" si="0"/>
        <v>1</v>
      </c>
      <c r="F8" s="29">
        <f t="shared" si="1"/>
        <v>30</v>
      </c>
      <c r="G8" s="33">
        <v>1</v>
      </c>
      <c r="H8" s="31">
        <f t="shared" si="2"/>
        <v>0</v>
      </c>
      <c r="I8" s="28"/>
      <c r="J8" s="32">
        <f t="shared" si="3"/>
        <v>0</v>
      </c>
      <c r="K8" s="28">
        <v>0</v>
      </c>
      <c r="L8" s="28">
        <f t="shared" si="4"/>
        <v>0</v>
      </c>
      <c r="M8" s="33">
        <v>1</v>
      </c>
      <c r="N8" s="28">
        <f t="shared" si="5"/>
        <v>0</v>
      </c>
      <c r="O8" s="33">
        <v>1</v>
      </c>
      <c r="P8" s="28">
        <f t="shared" si="6"/>
        <v>0</v>
      </c>
      <c r="Q8" s="33">
        <v>1</v>
      </c>
      <c r="R8" s="28">
        <f t="shared" si="7"/>
        <v>1</v>
      </c>
      <c r="S8" s="28">
        <v>1</v>
      </c>
      <c r="T8" s="28">
        <f t="shared" si="8"/>
        <v>0</v>
      </c>
      <c r="U8" s="28">
        <v>1</v>
      </c>
      <c r="V8" s="28">
        <f t="shared" si="9"/>
        <v>0</v>
      </c>
      <c r="W8" s="33">
        <v>1</v>
      </c>
      <c r="X8" s="28">
        <f t="shared" si="10"/>
        <v>0</v>
      </c>
      <c r="Y8" s="28">
        <v>1</v>
      </c>
      <c r="Z8" s="28">
        <f t="shared" si="11"/>
        <v>0</v>
      </c>
    </row>
    <row r="9" spans="1:26" ht="15.75" thickBot="1">
      <c r="A9" s="24"/>
      <c r="B9" s="34" t="s">
        <v>22</v>
      </c>
      <c r="C9" s="26">
        <f>'[1]23 Fev - 01 Mar'!F9</f>
        <v>30</v>
      </c>
      <c r="D9" s="27"/>
      <c r="E9" s="28">
        <f t="shared" si="0"/>
        <v>1</v>
      </c>
      <c r="F9" s="29">
        <f t="shared" si="1"/>
        <v>29</v>
      </c>
      <c r="G9" s="30">
        <v>1</v>
      </c>
      <c r="H9" s="31">
        <f t="shared" si="2"/>
        <v>0</v>
      </c>
      <c r="I9" s="28"/>
      <c r="J9" s="32">
        <f t="shared" si="3"/>
        <v>0</v>
      </c>
      <c r="K9" s="28">
        <v>0</v>
      </c>
      <c r="L9" s="28">
        <f t="shared" si="4"/>
        <v>0</v>
      </c>
      <c r="M9" s="33">
        <v>1</v>
      </c>
      <c r="N9" s="28">
        <f t="shared" si="5"/>
        <v>0</v>
      </c>
      <c r="O9" s="33"/>
      <c r="P9" s="28">
        <f t="shared" si="6"/>
        <v>0</v>
      </c>
      <c r="Q9" s="33">
        <v>1</v>
      </c>
      <c r="R9" s="28">
        <f t="shared" si="7"/>
        <v>1</v>
      </c>
      <c r="S9" s="28">
        <v>1</v>
      </c>
      <c r="T9" s="28">
        <f t="shared" si="8"/>
        <v>0</v>
      </c>
      <c r="U9" s="28"/>
      <c r="V9" s="28">
        <f t="shared" si="9"/>
        <v>0</v>
      </c>
      <c r="W9" s="33">
        <v>1</v>
      </c>
      <c r="X9" s="28">
        <f t="shared" si="10"/>
        <v>0</v>
      </c>
      <c r="Y9" s="28"/>
      <c r="Z9" s="28">
        <f t="shared" si="11"/>
        <v>0</v>
      </c>
    </row>
    <row r="10" spans="1:26" ht="27" thickBot="1">
      <c r="A10" s="24"/>
      <c r="B10" s="35" t="s">
        <v>23</v>
      </c>
      <c r="C10" s="26">
        <f>'[1]23 Fev - 01 Mar'!F10</f>
        <v>14</v>
      </c>
      <c r="D10" s="27"/>
      <c r="E10" s="28">
        <f t="shared" si="0"/>
        <v>0</v>
      </c>
      <c r="F10" s="29">
        <f t="shared" si="1"/>
        <v>14</v>
      </c>
      <c r="G10" s="30">
        <v>1</v>
      </c>
      <c r="H10" s="31">
        <f t="shared" si="2"/>
        <v>0</v>
      </c>
      <c r="I10" s="28"/>
      <c r="J10" s="32">
        <f t="shared" si="3"/>
        <v>0</v>
      </c>
      <c r="K10" s="28"/>
      <c r="L10" s="28">
        <f t="shared" si="4"/>
        <v>0</v>
      </c>
      <c r="M10" s="33"/>
      <c r="N10" s="28">
        <f t="shared" si="5"/>
        <v>0</v>
      </c>
      <c r="O10" s="33"/>
      <c r="P10" s="28">
        <f t="shared" si="6"/>
        <v>0</v>
      </c>
      <c r="Q10" s="33">
        <v>0</v>
      </c>
      <c r="R10" s="28">
        <f t="shared" si="7"/>
        <v>0</v>
      </c>
      <c r="S10" s="28"/>
      <c r="T10" s="28">
        <f t="shared" si="8"/>
        <v>0</v>
      </c>
      <c r="U10" s="28"/>
      <c r="V10" s="28">
        <f t="shared" si="9"/>
        <v>0</v>
      </c>
      <c r="W10" s="33">
        <v>1</v>
      </c>
      <c r="X10" s="28">
        <f t="shared" si="10"/>
        <v>0</v>
      </c>
      <c r="Y10" s="28"/>
      <c r="Z10" s="28">
        <f t="shared" si="11"/>
        <v>0</v>
      </c>
    </row>
    <row r="11" spans="1:26" ht="15.75" thickBot="1">
      <c r="A11" s="24"/>
      <c r="B11" s="34" t="s">
        <v>24</v>
      </c>
      <c r="C11" s="26">
        <f>'[1]23 Fev - 01 Mar'!F11</f>
        <v>10</v>
      </c>
      <c r="D11" s="27"/>
      <c r="E11" s="28">
        <f t="shared" si="0"/>
        <v>1</v>
      </c>
      <c r="F11" s="29">
        <f t="shared" si="1"/>
        <v>9</v>
      </c>
      <c r="G11" s="33"/>
      <c r="H11" s="31">
        <f t="shared" si="2"/>
        <v>0</v>
      </c>
      <c r="I11" s="28"/>
      <c r="J11" s="32">
        <f t="shared" si="3"/>
        <v>0</v>
      </c>
      <c r="K11" s="28"/>
      <c r="L11" s="28">
        <f t="shared" si="4"/>
        <v>0</v>
      </c>
      <c r="M11" s="33"/>
      <c r="N11" s="28">
        <f t="shared" si="5"/>
        <v>0</v>
      </c>
      <c r="O11" s="33"/>
      <c r="P11" s="28">
        <f t="shared" si="6"/>
        <v>0</v>
      </c>
      <c r="Q11" s="33">
        <v>1</v>
      </c>
      <c r="R11" s="28">
        <f t="shared" si="7"/>
        <v>1</v>
      </c>
      <c r="S11" s="28"/>
      <c r="T11" s="28">
        <f t="shared" si="8"/>
        <v>0</v>
      </c>
      <c r="U11" s="28"/>
      <c r="V11" s="28">
        <f t="shared" si="9"/>
        <v>0</v>
      </c>
      <c r="W11" s="33"/>
      <c r="X11" s="28">
        <f t="shared" si="10"/>
        <v>0</v>
      </c>
      <c r="Y11" s="28">
        <v>1</v>
      </c>
      <c r="Z11" s="28">
        <f t="shared" si="11"/>
        <v>0</v>
      </c>
    </row>
    <row r="12" spans="1:26" ht="27" thickBot="1">
      <c r="A12" s="24"/>
      <c r="B12" s="35" t="s">
        <v>25</v>
      </c>
      <c r="C12" s="26">
        <f>'[1]23 Fev - 01 Mar'!F12</f>
        <v>15</v>
      </c>
      <c r="D12" s="27"/>
      <c r="E12" s="28">
        <f t="shared" si="0"/>
        <v>0</v>
      </c>
      <c r="F12" s="29">
        <f t="shared" si="1"/>
        <v>15</v>
      </c>
      <c r="G12" s="33"/>
      <c r="H12" s="31">
        <f t="shared" si="2"/>
        <v>0</v>
      </c>
      <c r="I12" s="28"/>
      <c r="J12" s="32">
        <f t="shared" si="3"/>
        <v>0</v>
      </c>
      <c r="K12" s="28"/>
      <c r="L12" s="28">
        <f t="shared" si="4"/>
        <v>0</v>
      </c>
      <c r="M12" s="33"/>
      <c r="N12" s="28">
        <f t="shared" si="5"/>
        <v>0</v>
      </c>
      <c r="O12" s="33"/>
      <c r="P12" s="28">
        <f t="shared" si="6"/>
        <v>0</v>
      </c>
      <c r="Q12" s="33"/>
      <c r="R12" s="28">
        <f t="shared" si="7"/>
        <v>0</v>
      </c>
      <c r="S12" s="28"/>
      <c r="T12" s="28">
        <f t="shared" si="8"/>
        <v>0</v>
      </c>
      <c r="U12" s="28"/>
      <c r="V12" s="28">
        <f t="shared" si="9"/>
        <v>0</v>
      </c>
      <c r="W12" s="33"/>
      <c r="X12" s="28">
        <f t="shared" si="10"/>
        <v>0</v>
      </c>
      <c r="Y12" s="28">
        <v>1</v>
      </c>
      <c r="Z12" s="28">
        <f t="shared" si="11"/>
        <v>0</v>
      </c>
    </row>
    <row r="13" spans="1:26" ht="15.75" thickBot="1">
      <c r="A13" s="24"/>
      <c r="B13" s="34" t="s">
        <v>26</v>
      </c>
      <c r="C13" s="26">
        <f>'[1]23 Fev - 01 Mar'!F13</f>
        <v>96</v>
      </c>
      <c r="D13" s="27"/>
      <c r="E13" s="28">
        <f t="shared" si="0"/>
        <v>0</v>
      </c>
      <c r="F13" s="29">
        <f t="shared" si="1"/>
        <v>96</v>
      </c>
      <c r="G13" s="30">
        <v>1</v>
      </c>
      <c r="H13" s="31">
        <f t="shared" si="2"/>
        <v>0</v>
      </c>
      <c r="I13" s="28"/>
      <c r="J13" s="32">
        <f t="shared" si="3"/>
        <v>0</v>
      </c>
      <c r="K13" s="28">
        <v>0</v>
      </c>
      <c r="L13" s="28">
        <f t="shared" si="4"/>
        <v>0</v>
      </c>
      <c r="M13" s="33"/>
      <c r="N13" s="28">
        <f t="shared" si="5"/>
        <v>0</v>
      </c>
      <c r="O13" s="33">
        <v>1</v>
      </c>
      <c r="P13" s="28">
        <f t="shared" si="6"/>
        <v>0</v>
      </c>
      <c r="Q13" s="33">
        <v>0</v>
      </c>
      <c r="R13" s="28">
        <f t="shared" si="7"/>
        <v>0</v>
      </c>
      <c r="S13" s="28"/>
      <c r="T13" s="28">
        <f t="shared" si="8"/>
        <v>0</v>
      </c>
      <c r="U13" s="28">
        <v>1</v>
      </c>
      <c r="V13" s="28">
        <f t="shared" si="9"/>
        <v>0</v>
      </c>
      <c r="W13" s="33"/>
      <c r="X13" s="28">
        <f t="shared" si="10"/>
        <v>0</v>
      </c>
      <c r="Y13" s="28"/>
      <c r="Z13" s="28">
        <f t="shared" si="11"/>
        <v>0</v>
      </c>
    </row>
    <row r="14" spans="1:26" ht="15.75" thickBot="1">
      <c r="A14" s="24"/>
      <c r="B14" s="34" t="s">
        <v>27</v>
      </c>
      <c r="C14" s="26">
        <f>'[1]23 Fev - 01 Mar'!F14</f>
        <v>72</v>
      </c>
      <c r="D14" s="27"/>
      <c r="E14" s="28">
        <f t="shared" si="0"/>
        <v>2</v>
      </c>
      <c r="F14" s="29">
        <f t="shared" si="1"/>
        <v>70</v>
      </c>
      <c r="G14" s="33">
        <v>1</v>
      </c>
      <c r="H14" s="31">
        <f t="shared" si="2"/>
        <v>0</v>
      </c>
      <c r="I14" s="28"/>
      <c r="J14" s="32">
        <f t="shared" si="3"/>
        <v>0</v>
      </c>
      <c r="K14" s="28">
        <v>1</v>
      </c>
      <c r="L14" s="28">
        <f t="shared" si="4"/>
        <v>1</v>
      </c>
      <c r="M14" s="33">
        <v>1</v>
      </c>
      <c r="N14" s="28">
        <f t="shared" si="5"/>
        <v>0</v>
      </c>
      <c r="O14" s="33">
        <v>1</v>
      </c>
      <c r="P14" s="28">
        <f t="shared" si="6"/>
        <v>0</v>
      </c>
      <c r="Q14" s="33">
        <v>1</v>
      </c>
      <c r="R14" s="28">
        <f t="shared" si="7"/>
        <v>1</v>
      </c>
      <c r="S14" s="28">
        <v>1</v>
      </c>
      <c r="T14" s="28">
        <f t="shared" si="8"/>
        <v>0</v>
      </c>
      <c r="U14" s="28">
        <v>1</v>
      </c>
      <c r="V14" s="28">
        <f t="shared" si="9"/>
        <v>0</v>
      </c>
      <c r="W14" s="33">
        <v>1</v>
      </c>
      <c r="X14" s="28">
        <f t="shared" si="10"/>
        <v>0</v>
      </c>
      <c r="Y14" s="28">
        <v>1</v>
      </c>
      <c r="Z14" s="28">
        <f t="shared" si="11"/>
        <v>0</v>
      </c>
    </row>
    <row r="15" spans="1:26" s="45" customFormat="1" ht="15.75" thickBot="1">
      <c r="A15" s="36"/>
      <c r="B15" s="37" t="s">
        <v>28</v>
      </c>
      <c r="C15" s="26">
        <f>'[1]23 Fev - 01 Mar'!F15</f>
        <v>69</v>
      </c>
      <c r="D15" s="38"/>
      <c r="E15" s="39">
        <f t="shared" si="0"/>
        <v>2</v>
      </c>
      <c r="F15" s="40">
        <f t="shared" si="1"/>
        <v>67</v>
      </c>
      <c r="G15" s="41">
        <v>1</v>
      </c>
      <c r="H15" s="42">
        <f t="shared" si="2"/>
        <v>0</v>
      </c>
      <c r="I15" s="39">
        <v>1</v>
      </c>
      <c r="J15" s="43">
        <f t="shared" si="3"/>
        <v>0</v>
      </c>
      <c r="K15" s="39">
        <v>1</v>
      </c>
      <c r="L15" s="39">
        <f t="shared" si="4"/>
        <v>1</v>
      </c>
      <c r="M15" s="44">
        <v>1</v>
      </c>
      <c r="N15" s="39">
        <f t="shared" si="5"/>
        <v>0</v>
      </c>
      <c r="O15" s="44">
        <v>1</v>
      </c>
      <c r="P15" s="39">
        <f t="shared" si="6"/>
        <v>0</v>
      </c>
      <c r="Q15" s="44">
        <v>1</v>
      </c>
      <c r="R15" s="39">
        <f t="shared" si="7"/>
        <v>1</v>
      </c>
      <c r="S15" s="39">
        <v>1</v>
      </c>
      <c r="T15" s="39">
        <f t="shared" si="8"/>
        <v>0</v>
      </c>
      <c r="U15" s="39">
        <v>1</v>
      </c>
      <c r="V15" s="39">
        <f t="shared" si="9"/>
        <v>0</v>
      </c>
      <c r="W15" s="44">
        <v>1</v>
      </c>
      <c r="X15" s="39">
        <f t="shared" si="10"/>
        <v>0</v>
      </c>
      <c r="Y15" s="39">
        <v>1</v>
      </c>
      <c r="Z15" s="39">
        <f t="shared" si="11"/>
        <v>0</v>
      </c>
    </row>
    <row r="16" spans="1:26" ht="15.75" thickBot="1">
      <c r="A16" s="46" t="s">
        <v>29</v>
      </c>
      <c r="B16" s="47" t="s">
        <v>30</v>
      </c>
      <c r="C16" s="26">
        <f>'[1]23 Fev - 01 Mar'!F16</f>
        <v>104</v>
      </c>
      <c r="D16" s="27"/>
      <c r="E16" s="28">
        <f t="shared" si="0"/>
        <v>8</v>
      </c>
      <c r="F16" s="29">
        <f t="shared" si="1"/>
        <v>96</v>
      </c>
      <c r="G16" s="33">
        <v>4</v>
      </c>
      <c r="H16" s="31">
        <f t="shared" si="2"/>
        <v>0</v>
      </c>
      <c r="I16" s="28"/>
      <c r="J16" s="32">
        <f t="shared" si="3"/>
        <v>0</v>
      </c>
      <c r="K16" s="28">
        <v>4</v>
      </c>
      <c r="L16" s="28">
        <f t="shared" si="4"/>
        <v>4</v>
      </c>
      <c r="M16" s="33">
        <v>4</v>
      </c>
      <c r="N16" s="28">
        <f t="shared" si="5"/>
        <v>0</v>
      </c>
      <c r="O16" s="33">
        <v>4</v>
      </c>
      <c r="P16" s="28">
        <f t="shared" si="6"/>
        <v>0</v>
      </c>
      <c r="Q16" s="33">
        <v>4</v>
      </c>
      <c r="R16" s="28">
        <f t="shared" si="7"/>
        <v>4</v>
      </c>
      <c r="S16" s="28">
        <v>4</v>
      </c>
      <c r="T16" s="28">
        <f t="shared" si="8"/>
        <v>0</v>
      </c>
      <c r="U16" s="28">
        <v>4</v>
      </c>
      <c r="V16" s="28">
        <f t="shared" si="9"/>
        <v>0</v>
      </c>
      <c r="W16" s="33">
        <v>4</v>
      </c>
      <c r="X16" s="28">
        <f t="shared" si="10"/>
        <v>0</v>
      </c>
      <c r="Y16" s="28">
        <v>4</v>
      </c>
      <c r="Z16" s="28">
        <f t="shared" si="11"/>
        <v>0</v>
      </c>
    </row>
    <row r="17" spans="1:26" ht="15.75" thickBot="1">
      <c r="A17" s="48"/>
      <c r="B17" s="47" t="s">
        <v>31</v>
      </c>
      <c r="C17" s="26">
        <f>'[1]23 Fev - 01 Mar'!F17</f>
        <v>48</v>
      </c>
      <c r="D17" s="27"/>
      <c r="E17" s="28">
        <f t="shared" si="0"/>
        <v>2</v>
      </c>
      <c r="F17" s="29">
        <f t="shared" si="1"/>
        <v>46</v>
      </c>
      <c r="G17" s="33">
        <v>1</v>
      </c>
      <c r="H17" s="31">
        <f t="shared" si="2"/>
        <v>0</v>
      </c>
      <c r="I17" s="28"/>
      <c r="J17" s="32">
        <f t="shared" si="3"/>
        <v>0</v>
      </c>
      <c r="K17" s="28">
        <v>1</v>
      </c>
      <c r="L17" s="28">
        <f t="shared" si="4"/>
        <v>1</v>
      </c>
      <c r="M17" s="33">
        <v>1</v>
      </c>
      <c r="N17" s="28">
        <f t="shared" si="5"/>
        <v>0</v>
      </c>
      <c r="O17" s="33">
        <v>1</v>
      </c>
      <c r="P17" s="28">
        <f t="shared" si="6"/>
        <v>0</v>
      </c>
      <c r="Q17" s="33">
        <v>1</v>
      </c>
      <c r="R17" s="28">
        <f t="shared" si="7"/>
        <v>1</v>
      </c>
      <c r="S17" s="28">
        <v>1</v>
      </c>
      <c r="T17" s="28">
        <f t="shared" si="8"/>
        <v>0</v>
      </c>
      <c r="U17" s="28">
        <v>1</v>
      </c>
      <c r="V17" s="28">
        <f t="shared" si="9"/>
        <v>0</v>
      </c>
      <c r="W17" s="33">
        <v>1</v>
      </c>
      <c r="X17" s="28">
        <f t="shared" si="10"/>
        <v>0</v>
      </c>
      <c r="Y17" s="28">
        <v>1</v>
      </c>
      <c r="Z17" s="28">
        <f t="shared" si="11"/>
        <v>0</v>
      </c>
    </row>
    <row r="18" spans="1:26" ht="15.75" thickBot="1">
      <c r="A18" s="48"/>
      <c r="B18" s="47" t="s">
        <v>32</v>
      </c>
      <c r="C18" s="26">
        <f>'[1]23 Fev - 01 Mar'!F18</f>
        <v>133</v>
      </c>
      <c r="D18" s="27"/>
      <c r="E18" s="28">
        <f t="shared" si="0"/>
        <v>8</v>
      </c>
      <c r="F18" s="29">
        <f t="shared" si="1"/>
        <v>125</v>
      </c>
      <c r="G18" s="33">
        <v>4</v>
      </c>
      <c r="H18" s="31">
        <f t="shared" si="2"/>
        <v>0</v>
      </c>
      <c r="I18" s="28"/>
      <c r="J18" s="32">
        <f t="shared" si="3"/>
        <v>0</v>
      </c>
      <c r="K18" s="28">
        <v>4</v>
      </c>
      <c r="L18" s="28">
        <f t="shared" si="4"/>
        <v>4</v>
      </c>
      <c r="M18" s="33">
        <v>4</v>
      </c>
      <c r="N18" s="28">
        <f t="shared" si="5"/>
        <v>0</v>
      </c>
      <c r="O18" s="33">
        <v>4</v>
      </c>
      <c r="P18" s="28">
        <f t="shared" si="6"/>
        <v>0</v>
      </c>
      <c r="Q18" s="33">
        <v>4</v>
      </c>
      <c r="R18" s="28">
        <f t="shared" si="7"/>
        <v>4</v>
      </c>
      <c r="S18" s="28">
        <v>4</v>
      </c>
      <c r="T18" s="28">
        <f t="shared" si="8"/>
        <v>0</v>
      </c>
      <c r="U18" s="28">
        <v>4</v>
      </c>
      <c r="V18" s="28">
        <f t="shared" si="9"/>
        <v>0</v>
      </c>
      <c r="W18" s="33">
        <v>4</v>
      </c>
      <c r="X18" s="28">
        <f t="shared" si="10"/>
        <v>0</v>
      </c>
      <c r="Y18" s="28">
        <v>4</v>
      </c>
      <c r="Z18" s="28">
        <f t="shared" si="11"/>
        <v>0</v>
      </c>
    </row>
    <row r="19" spans="1:26" ht="15.75" thickBot="1">
      <c r="A19" s="48"/>
      <c r="B19" s="47" t="s">
        <v>33</v>
      </c>
      <c r="C19" s="26">
        <f>'[1]23 Fev - 01 Mar'!F19</f>
        <v>30</v>
      </c>
      <c r="D19" s="27"/>
      <c r="E19" s="28">
        <f t="shared" si="0"/>
        <v>2</v>
      </c>
      <c r="F19" s="29">
        <f t="shared" si="1"/>
        <v>28</v>
      </c>
      <c r="G19" s="33">
        <v>1</v>
      </c>
      <c r="H19" s="31">
        <f t="shared" si="2"/>
        <v>0</v>
      </c>
      <c r="I19" s="28"/>
      <c r="J19" s="32">
        <f t="shared" si="3"/>
        <v>0</v>
      </c>
      <c r="K19" s="28">
        <v>1</v>
      </c>
      <c r="L19" s="28">
        <f t="shared" si="4"/>
        <v>1</v>
      </c>
      <c r="M19" s="33">
        <v>1</v>
      </c>
      <c r="N19" s="28">
        <f t="shared" si="5"/>
        <v>0</v>
      </c>
      <c r="O19" s="33">
        <v>1</v>
      </c>
      <c r="P19" s="28">
        <f t="shared" si="6"/>
        <v>0</v>
      </c>
      <c r="Q19" s="33">
        <v>1</v>
      </c>
      <c r="R19" s="28">
        <f t="shared" si="7"/>
        <v>1</v>
      </c>
      <c r="S19" s="28">
        <v>1</v>
      </c>
      <c r="T19" s="28">
        <f t="shared" si="8"/>
        <v>0</v>
      </c>
      <c r="U19" s="28">
        <v>1</v>
      </c>
      <c r="V19" s="28">
        <f t="shared" si="9"/>
        <v>0</v>
      </c>
      <c r="W19" s="33">
        <v>1</v>
      </c>
      <c r="X19" s="28">
        <f t="shared" si="10"/>
        <v>0</v>
      </c>
      <c r="Y19" s="28">
        <v>1</v>
      </c>
      <c r="Z19" s="28">
        <f t="shared" si="11"/>
        <v>0</v>
      </c>
    </row>
    <row r="20" spans="1:26" ht="15.75" thickBot="1">
      <c r="A20" s="48"/>
      <c r="B20" s="47" t="s">
        <v>34</v>
      </c>
      <c r="C20" s="26">
        <f>'[1]23 Fev - 01 Mar'!F20</f>
        <v>39</v>
      </c>
      <c r="D20" s="27"/>
      <c r="E20" s="28">
        <f t="shared" si="0"/>
        <v>1</v>
      </c>
      <c r="F20" s="29">
        <f t="shared" si="1"/>
        <v>38</v>
      </c>
      <c r="G20" s="30">
        <v>1</v>
      </c>
      <c r="H20" s="31">
        <f t="shared" si="2"/>
        <v>0</v>
      </c>
      <c r="I20" s="28"/>
      <c r="J20" s="32">
        <f t="shared" si="3"/>
        <v>0</v>
      </c>
      <c r="K20" s="28">
        <v>0</v>
      </c>
      <c r="L20" s="28">
        <f t="shared" si="4"/>
        <v>0</v>
      </c>
      <c r="M20" s="33">
        <v>1</v>
      </c>
      <c r="N20" s="28">
        <f t="shared" si="5"/>
        <v>0</v>
      </c>
      <c r="O20" s="33">
        <v>1</v>
      </c>
      <c r="P20" s="28">
        <f t="shared" si="6"/>
        <v>0</v>
      </c>
      <c r="Q20" s="33">
        <v>1</v>
      </c>
      <c r="R20" s="28">
        <f t="shared" si="7"/>
        <v>1</v>
      </c>
      <c r="S20" s="28">
        <v>1</v>
      </c>
      <c r="T20" s="28">
        <f t="shared" si="8"/>
        <v>0</v>
      </c>
      <c r="U20" s="28">
        <v>1</v>
      </c>
      <c r="V20" s="28">
        <f t="shared" si="9"/>
        <v>0</v>
      </c>
      <c r="W20" s="33">
        <v>1</v>
      </c>
      <c r="X20" s="28">
        <f t="shared" si="10"/>
        <v>0</v>
      </c>
      <c r="Y20" s="28">
        <v>1</v>
      </c>
      <c r="Z20" s="28">
        <f t="shared" si="11"/>
        <v>0</v>
      </c>
    </row>
    <row r="21" spans="1:26" ht="15.75" thickBot="1">
      <c r="A21" s="48"/>
      <c r="B21" s="47" t="s">
        <v>35</v>
      </c>
      <c r="C21" s="26">
        <f>'[1]23 Fev - 01 Mar'!F21</f>
        <v>16</v>
      </c>
      <c r="D21" s="27"/>
      <c r="E21" s="28">
        <f t="shared" si="0"/>
        <v>1</v>
      </c>
      <c r="F21" s="29">
        <f t="shared" si="1"/>
        <v>15</v>
      </c>
      <c r="G21" s="30">
        <v>1</v>
      </c>
      <c r="H21" s="31">
        <f t="shared" si="2"/>
        <v>0</v>
      </c>
      <c r="I21" s="28"/>
      <c r="J21" s="32">
        <f t="shared" si="3"/>
        <v>0</v>
      </c>
      <c r="K21" s="28">
        <v>1</v>
      </c>
      <c r="L21" s="28">
        <f t="shared" si="4"/>
        <v>1</v>
      </c>
      <c r="M21" s="33"/>
      <c r="N21" s="28">
        <f t="shared" si="5"/>
        <v>0</v>
      </c>
      <c r="O21" s="33">
        <v>1</v>
      </c>
      <c r="P21" s="28">
        <f t="shared" si="6"/>
        <v>0</v>
      </c>
      <c r="Q21" s="33"/>
      <c r="R21" s="28">
        <f t="shared" si="7"/>
        <v>0</v>
      </c>
      <c r="S21" s="28"/>
      <c r="T21" s="28">
        <f t="shared" si="8"/>
        <v>0</v>
      </c>
      <c r="U21" s="28">
        <v>1</v>
      </c>
      <c r="V21" s="28">
        <f t="shared" si="9"/>
        <v>0</v>
      </c>
      <c r="W21" s="33"/>
      <c r="X21" s="28">
        <f t="shared" si="10"/>
        <v>0</v>
      </c>
      <c r="Y21" s="28"/>
      <c r="Z21" s="28">
        <f t="shared" si="11"/>
        <v>0</v>
      </c>
    </row>
    <row r="22" spans="1:26" ht="15.75" thickBot="1">
      <c r="A22" s="48"/>
      <c r="B22" s="47" t="s">
        <v>36</v>
      </c>
      <c r="C22" s="26">
        <f>'[1]23 Fev - 01 Mar'!F22</f>
        <v>17</v>
      </c>
      <c r="D22" s="27"/>
      <c r="E22" s="28">
        <f t="shared" si="0"/>
        <v>1</v>
      </c>
      <c r="F22" s="29">
        <f t="shared" si="1"/>
        <v>16</v>
      </c>
      <c r="G22" s="30">
        <v>1</v>
      </c>
      <c r="H22" s="31">
        <f t="shared" si="2"/>
        <v>0</v>
      </c>
      <c r="I22" s="28"/>
      <c r="J22" s="32">
        <f t="shared" si="3"/>
        <v>0</v>
      </c>
      <c r="K22" s="28">
        <v>1</v>
      </c>
      <c r="L22" s="28">
        <f t="shared" si="4"/>
        <v>1</v>
      </c>
      <c r="M22" s="33"/>
      <c r="N22" s="28">
        <f t="shared" si="5"/>
        <v>0</v>
      </c>
      <c r="O22" s="33">
        <v>1</v>
      </c>
      <c r="P22" s="28">
        <f t="shared" si="6"/>
        <v>0</v>
      </c>
      <c r="Q22" s="33"/>
      <c r="R22" s="28">
        <f t="shared" si="7"/>
        <v>0</v>
      </c>
      <c r="S22" s="28"/>
      <c r="T22" s="28">
        <f t="shared" si="8"/>
        <v>0</v>
      </c>
      <c r="U22" s="28">
        <v>1</v>
      </c>
      <c r="V22" s="28">
        <f t="shared" si="9"/>
        <v>0</v>
      </c>
      <c r="W22" s="33"/>
      <c r="X22" s="28">
        <f t="shared" si="10"/>
        <v>0</v>
      </c>
      <c r="Y22" s="28"/>
      <c r="Z22" s="28">
        <f t="shared" si="11"/>
        <v>0</v>
      </c>
    </row>
    <row r="23" spans="1:26" ht="15.75" thickBot="1">
      <c r="A23" s="48"/>
      <c r="B23" s="47" t="s">
        <v>37</v>
      </c>
      <c r="C23" s="26">
        <f>'[1]23 Fev - 01 Mar'!F23</f>
        <v>17</v>
      </c>
      <c r="D23" s="27"/>
      <c r="E23" s="28">
        <f t="shared" si="0"/>
        <v>1</v>
      </c>
      <c r="F23" s="29">
        <f t="shared" si="1"/>
        <v>16</v>
      </c>
      <c r="G23" s="49">
        <v>1</v>
      </c>
      <c r="H23" s="31">
        <f t="shared" si="2"/>
        <v>0</v>
      </c>
      <c r="I23" s="28"/>
      <c r="J23" s="32">
        <f t="shared" si="3"/>
        <v>0</v>
      </c>
      <c r="K23" s="28">
        <v>1</v>
      </c>
      <c r="L23" s="28">
        <f t="shared" si="4"/>
        <v>1</v>
      </c>
      <c r="M23" s="33"/>
      <c r="N23" s="28">
        <f t="shared" si="5"/>
        <v>0</v>
      </c>
      <c r="O23" s="33">
        <v>1</v>
      </c>
      <c r="P23" s="28">
        <f t="shared" si="6"/>
        <v>0</v>
      </c>
      <c r="Q23" s="33"/>
      <c r="R23" s="28">
        <f t="shared" si="7"/>
        <v>0</v>
      </c>
      <c r="S23" s="28"/>
      <c r="T23" s="28">
        <f t="shared" si="8"/>
        <v>0</v>
      </c>
      <c r="U23" s="28">
        <v>1</v>
      </c>
      <c r="V23" s="28">
        <f t="shared" si="9"/>
        <v>0</v>
      </c>
      <c r="W23" s="33"/>
      <c r="X23" s="28">
        <f t="shared" si="10"/>
        <v>0</v>
      </c>
      <c r="Y23" s="28"/>
      <c r="Z23" s="28">
        <f t="shared" si="11"/>
        <v>0</v>
      </c>
    </row>
    <row r="24" spans="1:26" ht="15.75" thickBot="1">
      <c r="A24" s="48"/>
      <c r="B24" s="47" t="s">
        <v>38</v>
      </c>
      <c r="C24" s="26">
        <f>'[1]23 Fev - 01 Mar'!F24</f>
        <v>12</v>
      </c>
      <c r="D24" s="27"/>
      <c r="E24" s="28">
        <f t="shared" si="0"/>
        <v>0</v>
      </c>
      <c r="F24" s="29">
        <f t="shared" si="1"/>
        <v>12</v>
      </c>
      <c r="G24" s="33">
        <v>2</v>
      </c>
      <c r="H24" s="31">
        <f t="shared" si="2"/>
        <v>0</v>
      </c>
      <c r="I24" s="28"/>
      <c r="J24" s="32">
        <f t="shared" si="3"/>
        <v>0</v>
      </c>
      <c r="K24" s="28">
        <v>0</v>
      </c>
      <c r="L24" s="28">
        <f t="shared" si="4"/>
        <v>0</v>
      </c>
      <c r="M24" s="33"/>
      <c r="N24" s="28">
        <f t="shared" si="5"/>
        <v>0</v>
      </c>
      <c r="O24" s="33"/>
      <c r="P24" s="28">
        <f t="shared" si="6"/>
        <v>0</v>
      </c>
      <c r="Q24" s="33"/>
      <c r="R24" s="28">
        <f t="shared" si="7"/>
        <v>0</v>
      </c>
      <c r="S24" s="28"/>
      <c r="T24" s="28">
        <f t="shared" si="8"/>
        <v>0</v>
      </c>
      <c r="U24" s="28"/>
      <c r="V24" s="28">
        <f t="shared" si="9"/>
        <v>0</v>
      </c>
      <c r="W24" s="33"/>
      <c r="X24" s="28">
        <f t="shared" si="10"/>
        <v>0</v>
      </c>
      <c r="Y24" s="28"/>
      <c r="Z24" s="28">
        <f t="shared" si="11"/>
        <v>0</v>
      </c>
    </row>
    <row r="25" spans="1:26" ht="15.75" thickBot="1">
      <c r="A25" s="48"/>
      <c r="B25" s="47" t="s">
        <v>39</v>
      </c>
      <c r="C25" s="26">
        <f>'[1]23 Fev - 01 Mar'!F25</f>
        <v>12</v>
      </c>
      <c r="D25" s="27"/>
      <c r="E25" s="28">
        <f t="shared" si="0"/>
        <v>0</v>
      </c>
      <c r="F25" s="29">
        <f t="shared" si="1"/>
        <v>12</v>
      </c>
      <c r="G25" s="33">
        <v>3</v>
      </c>
      <c r="H25" s="31">
        <f t="shared" si="2"/>
        <v>0</v>
      </c>
      <c r="I25" s="28"/>
      <c r="J25" s="32">
        <f t="shared" si="3"/>
        <v>0</v>
      </c>
      <c r="K25" s="28">
        <v>0</v>
      </c>
      <c r="L25" s="28">
        <f t="shared" si="4"/>
        <v>0</v>
      </c>
      <c r="M25" s="33"/>
      <c r="N25" s="28">
        <f t="shared" si="5"/>
        <v>0</v>
      </c>
      <c r="O25" s="33">
        <v>1</v>
      </c>
      <c r="P25" s="28">
        <f t="shared" si="6"/>
        <v>0</v>
      </c>
      <c r="Q25" s="33"/>
      <c r="R25" s="28">
        <f t="shared" si="7"/>
        <v>0</v>
      </c>
      <c r="S25" s="28"/>
      <c r="T25" s="28">
        <f t="shared" si="8"/>
        <v>0</v>
      </c>
      <c r="U25" s="28">
        <v>2</v>
      </c>
      <c r="V25" s="28">
        <f t="shared" si="9"/>
        <v>0</v>
      </c>
      <c r="W25" s="33"/>
      <c r="X25" s="28">
        <f t="shared" si="10"/>
        <v>0</v>
      </c>
      <c r="Y25" s="28"/>
      <c r="Z25" s="28">
        <f t="shared" si="11"/>
        <v>0</v>
      </c>
    </row>
    <row r="26" spans="1:26" ht="15.75" thickBot="1">
      <c r="A26" s="48"/>
      <c r="B26" s="47" t="s">
        <v>40</v>
      </c>
      <c r="C26" s="26">
        <f>'[1]23 Fev - 01 Mar'!F26</f>
        <v>12</v>
      </c>
      <c r="D26" s="27"/>
      <c r="E26" s="28">
        <f t="shared" si="0"/>
        <v>0</v>
      </c>
      <c r="F26" s="29">
        <f t="shared" si="1"/>
        <v>12</v>
      </c>
      <c r="G26" s="33"/>
      <c r="H26" s="31">
        <f t="shared" si="2"/>
        <v>0</v>
      </c>
      <c r="I26" s="28"/>
      <c r="J26" s="32">
        <f t="shared" si="3"/>
        <v>0</v>
      </c>
      <c r="K26" s="28">
        <v>0</v>
      </c>
      <c r="L26" s="28">
        <f t="shared" si="4"/>
        <v>0</v>
      </c>
      <c r="M26" s="33"/>
      <c r="N26" s="28">
        <f t="shared" si="5"/>
        <v>0</v>
      </c>
      <c r="O26" s="33">
        <v>1</v>
      </c>
      <c r="P26" s="28">
        <f t="shared" si="6"/>
        <v>0</v>
      </c>
      <c r="Q26" s="33"/>
      <c r="R26" s="28">
        <f t="shared" si="7"/>
        <v>0</v>
      </c>
      <c r="S26" s="28"/>
      <c r="T26" s="28">
        <f t="shared" si="8"/>
        <v>0</v>
      </c>
      <c r="U26" s="28">
        <v>2</v>
      </c>
      <c r="V26" s="28">
        <f t="shared" si="9"/>
        <v>0</v>
      </c>
      <c r="W26" s="33"/>
      <c r="X26" s="28">
        <f t="shared" si="10"/>
        <v>0</v>
      </c>
      <c r="Y26" s="28"/>
      <c r="Z26" s="28">
        <f t="shared" si="11"/>
        <v>0</v>
      </c>
    </row>
    <row r="27" spans="1:26" ht="15.75" thickBot="1">
      <c r="A27" s="48"/>
      <c r="B27" s="47" t="s">
        <v>41</v>
      </c>
      <c r="C27" s="26">
        <f>'[1]23 Fev - 01 Mar'!F27</f>
        <v>10</v>
      </c>
      <c r="D27" s="27"/>
      <c r="E27" s="28">
        <f t="shared" si="0"/>
        <v>2</v>
      </c>
      <c r="F27" s="29">
        <f t="shared" si="1"/>
        <v>8</v>
      </c>
      <c r="G27" s="33"/>
      <c r="H27" s="31">
        <f t="shared" si="2"/>
        <v>0</v>
      </c>
      <c r="I27" s="28"/>
      <c r="J27" s="32">
        <f t="shared" si="3"/>
        <v>0</v>
      </c>
      <c r="K27" s="28">
        <v>2</v>
      </c>
      <c r="L27" s="28">
        <f t="shared" si="4"/>
        <v>2</v>
      </c>
      <c r="M27" s="33"/>
      <c r="N27" s="28">
        <f t="shared" si="5"/>
        <v>0</v>
      </c>
      <c r="O27" s="33"/>
      <c r="P27" s="28">
        <f t="shared" si="6"/>
        <v>0</v>
      </c>
      <c r="Q27" s="33"/>
      <c r="R27" s="28">
        <f t="shared" si="7"/>
        <v>0</v>
      </c>
      <c r="S27" s="28"/>
      <c r="T27" s="28">
        <f t="shared" si="8"/>
        <v>0</v>
      </c>
      <c r="U27" s="28"/>
      <c r="V27" s="28">
        <f t="shared" si="9"/>
        <v>0</v>
      </c>
      <c r="W27" s="33"/>
      <c r="X27" s="28">
        <f t="shared" si="10"/>
        <v>0</v>
      </c>
      <c r="Y27" s="28"/>
      <c r="Z27" s="28">
        <f t="shared" si="11"/>
        <v>0</v>
      </c>
    </row>
    <row r="28" spans="1:26" ht="15.75" thickBot="1">
      <c r="A28" s="48"/>
      <c r="B28" s="47" t="s">
        <v>42</v>
      </c>
      <c r="C28" s="26">
        <f>'[1]23 Fev - 01 Mar'!F28</f>
        <v>9</v>
      </c>
      <c r="D28" s="27"/>
      <c r="E28" s="28">
        <f t="shared" si="0"/>
        <v>1</v>
      </c>
      <c r="F28" s="29">
        <f t="shared" si="1"/>
        <v>8</v>
      </c>
      <c r="G28" s="33">
        <v>1</v>
      </c>
      <c r="H28" s="31">
        <f t="shared" si="2"/>
        <v>0</v>
      </c>
      <c r="I28" s="28">
        <v>1</v>
      </c>
      <c r="J28" s="32">
        <f t="shared" si="3"/>
        <v>0</v>
      </c>
      <c r="K28" s="28">
        <v>1</v>
      </c>
      <c r="L28" s="28">
        <f t="shared" si="4"/>
        <v>1</v>
      </c>
      <c r="M28" s="33"/>
      <c r="N28" s="28">
        <f t="shared" si="5"/>
        <v>0</v>
      </c>
      <c r="O28" s="33">
        <v>1</v>
      </c>
      <c r="P28" s="28">
        <f t="shared" si="6"/>
        <v>0</v>
      </c>
      <c r="Q28" s="33"/>
      <c r="R28" s="28">
        <f t="shared" si="7"/>
        <v>0</v>
      </c>
      <c r="S28" s="28">
        <v>1</v>
      </c>
      <c r="T28" s="28">
        <f t="shared" si="8"/>
        <v>0</v>
      </c>
      <c r="U28" s="28">
        <v>1</v>
      </c>
      <c r="V28" s="28">
        <f t="shared" si="9"/>
        <v>0</v>
      </c>
      <c r="W28" s="33"/>
      <c r="X28" s="28">
        <f t="shared" si="10"/>
        <v>0</v>
      </c>
      <c r="Y28" s="28"/>
      <c r="Z28" s="28">
        <f t="shared" si="11"/>
        <v>0</v>
      </c>
    </row>
    <row r="29" spans="1:26" ht="15.75" thickBot="1">
      <c r="A29" s="50"/>
      <c r="B29" s="51" t="s">
        <v>43</v>
      </c>
      <c r="C29" s="26">
        <f>'[1]23 Fev - 01 Mar'!F29</f>
        <v>17</v>
      </c>
      <c r="D29" s="38"/>
      <c r="E29" s="39">
        <f>H29+J29+L29+N29+P29+R29+T29+V29+X29+Z29</f>
        <v>0</v>
      </c>
      <c r="F29" s="40">
        <f>C29+D29-E29</f>
        <v>17</v>
      </c>
      <c r="G29" s="52">
        <v>1</v>
      </c>
      <c r="H29" s="42">
        <f>$H$2*G29</f>
        <v>0</v>
      </c>
      <c r="I29" s="53">
        <v>1</v>
      </c>
      <c r="J29" s="43">
        <f>$J$2*I29</f>
        <v>0</v>
      </c>
      <c r="K29" s="53">
        <v>0</v>
      </c>
      <c r="L29" s="39">
        <f>$L$2*K29</f>
        <v>0</v>
      </c>
      <c r="M29" s="44"/>
      <c r="N29" s="39">
        <f>$N$2*M29</f>
        <v>0</v>
      </c>
      <c r="O29" s="44">
        <v>1</v>
      </c>
      <c r="P29" s="39">
        <f>$P$2*O29</f>
        <v>0</v>
      </c>
      <c r="Q29" s="44"/>
      <c r="R29" s="39">
        <f>$R$2*Q29</f>
        <v>0</v>
      </c>
      <c r="S29" s="39"/>
      <c r="T29" s="39">
        <f>$T$2*S29</f>
        <v>0</v>
      </c>
      <c r="U29" s="39"/>
      <c r="V29" s="39">
        <f>$V$2*U29</f>
        <v>0</v>
      </c>
      <c r="W29" s="44"/>
      <c r="X29" s="39">
        <f>$X$2*W29</f>
        <v>0</v>
      </c>
      <c r="Y29" s="39"/>
      <c r="Z29" s="39">
        <f>$Z$2*Y29</f>
        <v>0</v>
      </c>
    </row>
    <row r="30" spans="1:26" ht="17.25" customHeight="1" thickBot="1">
      <c r="A30" s="54" t="s">
        <v>44</v>
      </c>
      <c r="B30" s="55" t="s">
        <v>45</v>
      </c>
      <c r="C30" s="26">
        <f>'[1]23 Fev - 01 Mar'!F30</f>
        <v>0</v>
      </c>
      <c r="D30" s="27"/>
      <c r="E30" s="28">
        <f>H30+J30+L30+N30+P30+R30+T30+V30+X30+Z30</f>
        <v>0</v>
      </c>
      <c r="F30" s="29">
        <f>C30+D30-E30</f>
        <v>0</v>
      </c>
      <c r="G30" s="49">
        <v>1</v>
      </c>
      <c r="H30" s="31">
        <f>$H$2*G30</f>
        <v>0</v>
      </c>
      <c r="I30" s="56">
        <v>1</v>
      </c>
      <c r="J30" s="32">
        <f>$J$2*I30</f>
        <v>0</v>
      </c>
      <c r="K30" s="56">
        <v>0</v>
      </c>
      <c r="L30" s="28">
        <f>$L$2*K30</f>
        <v>0</v>
      </c>
      <c r="M30" s="33"/>
      <c r="N30" s="28">
        <f>$N$2*M30</f>
        <v>0</v>
      </c>
      <c r="O30" s="33">
        <v>1</v>
      </c>
      <c r="P30" s="28">
        <f>$P$2*O30</f>
        <v>0</v>
      </c>
      <c r="Q30" s="33"/>
      <c r="R30" s="28">
        <f>$R$2*Q30</f>
        <v>0</v>
      </c>
      <c r="S30" s="28"/>
      <c r="T30" s="28">
        <f>$T$2*S30</f>
        <v>0</v>
      </c>
      <c r="U30" s="28"/>
      <c r="V30" s="28">
        <f>$V$2*U30</f>
        <v>0</v>
      </c>
      <c r="W30" s="33"/>
      <c r="X30" s="28">
        <f>$X$2*W30</f>
        <v>0</v>
      </c>
      <c r="Y30" s="28"/>
      <c r="Z30" s="28">
        <f>$Z$2*Y30</f>
        <v>0</v>
      </c>
    </row>
    <row r="31" spans="1:26" ht="18.75" customHeight="1" thickBot="1">
      <c r="A31" s="57"/>
      <c r="B31" s="55" t="s">
        <v>46</v>
      </c>
      <c r="C31" s="26">
        <f>('[1]23 Fev - 01 Mar'!F31)+24</f>
        <v>24</v>
      </c>
      <c r="D31" s="27"/>
      <c r="E31" s="28">
        <f t="shared" ref="E31" si="12">H31+J31+L31+N31+P31+R31+T31+V31+X31+Z31</f>
        <v>2</v>
      </c>
      <c r="F31" s="29">
        <f t="shared" ref="F31" si="13">C31+D31-E31</f>
        <v>22</v>
      </c>
      <c r="G31" s="33">
        <v>1</v>
      </c>
      <c r="H31" s="31">
        <f t="shared" ref="H31" si="14">$H$2*G31</f>
        <v>0</v>
      </c>
      <c r="I31" s="28">
        <v>1</v>
      </c>
      <c r="J31" s="32">
        <f t="shared" ref="J31" si="15">$J$2*I31</f>
        <v>0</v>
      </c>
      <c r="K31" s="28">
        <v>1</v>
      </c>
      <c r="L31" s="28">
        <f t="shared" ref="L31" si="16">$L$2*K31</f>
        <v>1</v>
      </c>
      <c r="M31" s="33">
        <v>1</v>
      </c>
      <c r="N31" s="28">
        <f t="shared" ref="N31" si="17">$N$2*M31</f>
        <v>0</v>
      </c>
      <c r="O31" s="33">
        <v>1</v>
      </c>
      <c r="P31" s="28">
        <f t="shared" ref="P31" si="18">$P$2*O31</f>
        <v>0</v>
      </c>
      <c r="Q31" s="33">
        <v>1</v>
      </c>
      <c r="R31" s="28">
        <f t="shared" ref="R31" si="19">$R$2*Q31</f>
        <v>1</v>
      </c>
      <c r="S31" s="28">
        <v>1</v>
      </c>
      <c r="T31" s="28">
        <f t="shared" ref="T31" si="20">$T$2*S31</f>
        <v>0</v>
      </c>
      <c r="U31" s="28">
        <v>1</v>
      </c>
      <c r="V31" s="28">
        <f t="shared" ref="V31" si="21">$V$2*U31</f>
        <v>0</v>
      </c>
      <c r="W31" s="33">
        <v>1</v>
      </c>
      <c r="X31" s="28">
        <f t="shared" ref="X31" si="22">$X$2*W31</f>
        <v>0</v>
      </c>
      <c r="Y31" s="28">
        <v>1</v>
      </c>
      <c r="Z31" s="28">
        <f t="shared" ref="Z31" si="23">$Z$2*Y31</f>
        <v>0</v>
      </c>
    </row>
    <row r="32" spans="1:26" ht="18.75" customHeight="1" thickBot="1">
      <c r="A32" s="58"/>
      <c r="B32" s="59" t="s">
        <v>47</v>
      </c>
      <c r="C32" s="26">
        <f>'[1]23 Fev - 01 Mar'!F32</f>
        <v>13</v>
      </c>
      <c r="D32" s="60"/>
      <c r="E32" s="28">
        <f t="shared" si="0"/>
        <v>2</v>
      </c>
      <c r="F32" s="61">
        <f t="shared" si="1"/>
        <v>11</v>
      </c>
      <c r="G32" s="62">
        <v>1</v>
      </c>
      <c r="H32" s="31">
        <f t="shared" si="2"/>
        <v>0</v>
      </c>
      <c r="I32" s="28">
        <v>1</v>
      </c>
      <c r="J32" s="32">
        <f t="shared" si="3"/>
        <v>0</v>
      </c>
      <c r="K32" s="28">
        <v>1</v>
      </c>
      <c r="L32" s="28">
        <f t="shared" si="4"/>
        <v>1</v>
      </c>
      <c r="M32" s="62">
        <v>1</v>
      </c>
      <c r="N32" s="28">
        <f t="shared" si="5"/>
        <v>0</v>
      </c>
      <c r="O32" s="62">
        <v>1</v>
      </c>
      <c r="P32" s="28">
        <f t="shared" si="6"/>
        <v>0</v>
      </c>
      <c r="Q32" s="62">
        <v>1</v>
      </c>
      <c r="R32" s="28">
        <f t="shared" si="7"/>
        <v>1</v>
      </c>
      <c r="S32" s="28"/>
      <c r="T32" s="28">
        <f t="shared" si="8"/>
        <v>0</v>
      </c>
      <c r="U32" s="28">
        <v>1</v>
      </c>
      <c r="V32" s="28">
        <f t="shared" si="9"/>
        <v>0</v>
      </c>
      <c r="W32" s="62">
        <v>1</v>
      </c>
      <c r="X32" s="28">
        <f t="shared" si="10"/>
        <v>0</v>
      </c>
      <c r="Y32" s="28">
        <v>1</v>
      </c>
      <c r="Z32" s="28">
        <f t="shared" si="11"/>
        <v>0</v>
      </c>
    </row>
    <row r="33" spans="2:26"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2:26"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2:26">
      <c r="B35" s="65"/>
      <c r="D35" s="66"/>
      <c r="E35" s="66"/>
      <c r="F35" s="67"/>
    </row>
  </sheetData>
  <mergeCells count="5">
    <mergeCell ref="C2:F2"/>
    <mergeCell ref="A4:A15"/>
    <mergeCell ref="A16:A29"/>
    <mergeCell ref="A30:A32"/>
    <mergeCell ref="D35:E35"/>
  </mergeCells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02 - 08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BLOCO</dc:creator>
  <cp:lastModifiedBy>BLOCO</cp:lastModifiedBy>
  <dcterms:created xsi:type="dcterms:W3CDTF">2026-04-02T15:49:37Z</dcterms:created>
  <dcterms:modified xsi:type="dcterms:W3CDTF">2026-04-02T15:51:44Z</dcterms:modified>
</cp:coreProperties>
</file>